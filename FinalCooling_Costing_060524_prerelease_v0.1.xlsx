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<sst xmlns="http://schemas.openxmlformats.org/spreadsheetml/2006/main" count="60" uniqueCount="41">
  <si>
    <t xml:space="preserve">Name:</t>
  </si>
  <si>
    <t xml:space="preserve">Rebecca Taylor</t>
  </si>
  <si>
    <t xml:space="preserve">Title:</t>
  </si>
  <si>
    <t xml:space="preserve">Initial Costing for Final Cooling and Pre-Accelerator</t>
  </si>
  <si>
    <t xml:space="preserve">Date:</t>
  </si>
  <si>
    <t xml:space="preserve">Source:</t>
  </si>
  <si>
    <t xml:space="preserve">Fcchannel_025m_Rfcav</t>
  </si>
  <si>
    <t xml:space="preserve">Tag:</t>
  </si>
  <si>
    <t xml:space="preserve">Prerelease_0.1</t>
  </si>
  <si>
    <t xml:space="preserve">From:</t>
  </si>
  <si>
    <t xml:space="preserve">Elena Fol</t>
  </si>
  <si>
    <t xml:space="preserve">Final Cooling</t>
  </si>
  <si>
    <t xml:space="preserve">Pre-Accelerator</t>
  </si>
  <si>
    <r>
      <rPr>
        <b val="true"/>
        <sz val="9"/>
        <rFont val="Arial"/>
        <family val="2"/>
      </rPr>
      <t xml:space="preserve">Solenoid </t>
    </r>
    <r>
      <rPr>
        <sz val="9"/>
        <rFont val="Arial"/>
        <family val="2"/>
      </rPr>
      <t xml:space="preserve">(40 T + low Bz)</t>
    </r>
  </si>
  <si>
    <t xml:space="preserve">Absorber</t>
  </si>
  <si>
    <r>
      <rPr>
        <b val="true"/>
        <sz val="9"/>
        <rFont val="Arial"/>
        <family val="2"/>
      </rPr>
      <t xml:space="preserve">Accelerating RF Cavity </t>
    </r>
    <r>
      <rPr>
        <sz val="9"/>
        <rFont val="Arial"/>
        <family val="2"/>
      </rPr>
      <t xml:space="preserve">(0.5 m)</t>
    </r>
  </si>
  <si>
    <r>
      <rPr>
        <b val="true"/>
        <sz val="9"/>
        <rFont val="Arial"/>
        <family val="2"/>
      </rPr>
      <t xml:space="preserve">Rotating RF Cavity</t>
    </r>
    <r>
      <rPr>
        <sz val="9"/>
        <rFont val="Arial"/>
        <family val="2"/>
      </rPr>
      <t xml:space="preserve"> (0.5 m)</t>
    </r>
  </si>
  <si>
    <t xml:space="preserve">Low Bz Drift</t>
  </si>
  <si>
    <t xml:space="preserve">CC-DTL</t>
  </si>
  <si>
    <t xml:space="preserve">DLS / Pi-Mode / DTL</t>
  </si>
  <si>
    <t xml:space="preserve">Cell</t>
  </si>
  <si>
    <t xml:space="preserve">Length [m]</t>
  </si>
  <si>
    <t xml:space="preserve">Bz [T]</t>
  </si>
  <si>
    <t xml:space="preserve">Aper X [mm]</t>
  </si>
  <si>
    <t xml:space="preserve">Aper Y [mm]</t>
  </si>
  <si>
    <t xml:space="preserve">Type</t>
  </si>
  <si>
    <t xml:space="preserve">Num.</t>
  </si>
  <si>
    <t xml:space="preserve">Grad. [MV/m]</t>
  </si>
  <si>
    <t xml:space="preserve">Freq. [MHz]</t>
  </si>
  <si>
    <t xml:space="preserve">Low β: 5 MeV → 50 MeV</t>
  </si>
  <si>
    <t xml:space="preserve">High β: 50 MeV → 250 MeV</t>
  </si>
  <si>
    <t xml:space="preserve">LH</t>
  </si>
  <si>
    <t xml:space="preserve">Grad. [MeV/m]</t>
  </si>
  <si>
    <t xml:space="preserve">Unknown</t>
  </si>
  <si>
    <t xml:space="preserve">GH</t>
  </si>
  <si>
    <t xml:space="preserve">Total</t>
  </si>
  <si>
    <t xml:space="preserve">Total Len</t>
  </si>
  <si>
    <t xml:space="preserve">m</t>
  </si>
  <si>
    <r>
      <rPr>
        <sz val="9"/>
        <rFont val="Arial"/>
        <family val="2"/>
      </rPr>
      <t xml:space="preserve">5 sigma of </t>
    </r>
    <r>
      <rPr>
        <i val="true"/>
        <sz val="9"/>
        <rFont val="Arial"/>
        <family val="2"/>
      </rPr>
      <t xml:space="preserve">cooled_cell_i files</t>
    </r>
  </si>
  <si>
    <t xml:space="preserve">LH = Liquid Hydrogen</t>
  </si>
  <si>
    <t xml:space="preserve">GH = Gaseous Hydrogen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</si>
</sst>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"/>
    <numFmt numFmtId="167" formatCode="0.0"/>
    <numFmt numFmtId="168" formatCode="0.000"/>
    <numFmt numFmtId="169" formatCode="0"/>
    <numFmt numFmtId="170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  <font>
      <b val="true"/>
      <sz val="9"/>
      <name val="Arial"/>
      <family val="2"/>
    </font>
    <font>
      <i val="true"/>
      <sz val="9"/>
      <name val="Arial"/>
      <family val="2"/>
    </font>
    <font>
      <b val="true"/>
      <sz val="10"/>
      <name val="Arial"/>
      <family val="2"/>
    </font>
    <font>
      <sz val="9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BB6"/>
        <bgColor rgb="FFFFD7D7"/>
      </patternFill>
    </fill>
    <fill>
      <patternFill patternType="solid">
        <fgColor rgb="FFEEEEEE"/>
        <bgColor rgb="FFDEE6EF"/>
      </patternFill>
    </fill>
    <fill>
      <patternFill patternType="solid">
        <fgColor rgb="FFFFD7D7"/>
        <bgColor rgb="FFFFDBB6"/>
      </patternFill>
    </fill>
    <fill>
      <patternFill patternType="solid">
        <fgColor rgb="FFDEE6EF"/>
        <bgColor rgb="FFDEDCE6"/>
      </patternFill>
    </fill>
    <fill>
      <patternFill patternType="solid">
        <fgColor rgb="FFFFFFD7"/>
        <bgColor rgb="FFEEEEEE"/>
      </patternFill>
    </fill>
    <fill>
      <patternFill patternType="solid">
        <fgColor rgb="FFE0C2CD"/>
        <bgColor rgb="FFDDDDDD"/>
      </patternFill>
    </fill>
    <fill>
      <patternFill patternType="solid">
        <fgColor rgb="FFDEDCE6"/>
        <bgColor rgb="FFDDDDDD"/>
      </patternFill>
    </fill>
    <fill>
      <patternFill patternType="solid">
        <fgColor rgb="FFDDDDDD"/>
        <bgColor rgb="FFDEDCE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8" fontId="4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9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D7D7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470520</xdr:colOff>
      <xdr:row>19</xdr:row>
      <xdr:rowOff>57240</xdr:rowOff>
    </xdr:from>
    <xdr:to>
      <xdr:col>13</xdr:col>
      <xdr:colOff>684360</xdr:colOff>
      <xdr:row>37</xdr:row>
      <xdr:rowOff>126720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470520" y="3146040"/>
          <a:ext cx="9187560" cy="2995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9.6"/>
    <col collapsed="false" customWidth="true" hidden="false" outlineLevel="0" max="3" min="3" style="0" width="7.96"/>
    <col collapsed="false" customWidth="true" hidden="false" outlineLevel="0" max="6" min="6" style="0" width="5.21"/>
    <col collapsed="false" customWidth="true" hidden="false" outlineLevel="0" max="7" min="7" style="0" width="8.96"/>
    <col collapsed="false" customWidth="true" hidden="false" outlineLevel="0" max="8" min="8" style="0" width="9.29"/>
    <col collapsed="false" customWidth="true" hidden="false" outlineLevel="0" max="9" min="9" style="0" width="12.35"/>
    <col collapsed="false" customWidth="true" hidden="false" outlineLevel="0" max="10" min="10" style="0" width="10.71"/>
    <col collapsed="false" customWidth="true" hidden="false" outlineLevel="0" max="11" min="11" style="0" width="9.29"/>
    <col collapsed="false" customWidth="true" hidden="false" outlineLevel="0" max="12" min="12" style="0" width="12.35"/>
    <col collapsed="false" customWidth="true" hidden="false" outlineLevel="0" max="13" min="13" style="0" width="10.29"/>
    <col collapsed="false" customWidth="true" hidden="false" outlineLevel="0" max="16" min="16" style="0" width="5.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3"/>
      <c r="E1" s="4" t="s">
        <v>2</v>
      </c>
      <c r="F1" s="5" t="s">
        <v>3</v>
      </c>
      <c r="G1" s="3"/>
      <c r="H1" s="6"/>
      <c r="I1" s="7"/>
      <c r="J1" s="7"/>
      <c r="K1" s="8"/>
      <c r="L1" s="7"/>
      <c r="M1" s="7"/>
      <c r="N1" s="9"/>
      <c r="O1" s="9"/>
      <c r="P1" s="9"/>
      <c r="Q1" s="10"/>
      <c r="R1" s="10"/>
      <c r="S1" s="10"/>
      <c r="T1" s="10"/>
    </row>
    <row r="2" customFormat="false" ht="12.8" hidden="false" customHeight="false" outlineLevel="0" collapsed="false">
      <c r="A2" s="1" t="s">
        <v>4</v>
      </c>
      <c r="B2" s="11" t="n">
        <v>45418</v>
      </c>
      <c r="C2" s="11"/>
      <c r="D2" s="3"/>
      <c r="E2" s="12" t="s">
        <v>5</v>
      </c>
      <c r="F2" s="13" t="s">
        <v>6</v>
      </c>
      <c r="G2" s="3"/>
      <c r="H2" s="6"/>
      <c r="I2" s="7"/>
      <c r="J2" s="7"/>
      <c r="K2" s="8"/>
      <c r="L2" s="7"/>
      <c r="M2" s="7"/>
      <c r="N2" s="9"/>
      <c r="O2" s="9"/>
      <c r="P2" s="9"/>
      <c r="Q2" s="10"/>
      <c r="R2" s="10"/>
      <c r="S2" s="10"/>
      <c r="T2" s="10"/>
    </row>
    <row r="3" customFormat="false" ht="12.8" hidden="false" customHeight="false" outlineLevel="0" collapsed="false">
      <c r="A3" s="1" t="s">
        <v>7</v>
      </c>
      <c r="B3" s="2" t="s">
        <v>8</v>
      </c>
      <c r="C3" s="2"/>
      <c r="D3" s="3"/>
      <c r="E3" s="12" t="s">
        <v>9</v>
      </c>
      <c r="F3" s="14" t="s">
        <v>10</v>
      </c>
      <c r="G3" s="3"/>
      <c r="H3" s="6"/>
      <c r="I3" s="7"/>
      <c r="J3" s="7"/>
      <c r="K3" s="8"/>
      <c r="L3" s="7"/>
      <c r="M3" s="7"/>
      <c r="N3" s="9"/>
      <c r="O3" s="9"/>
      <c r="P3" s="9"/>
      <c r="Q3" s="10"/>
      <c r="R3" s="10"/>
      <c r="S3" s="10"/>
      <c r="T3" s="10"/>
    </row>
    <row r="4" customFormat="false" ht="12.8" hidden="false" customHeight="false" outlineLevel="0" collapsed="false">
      <c r="A4" s="15" t="s">
        <v>11</v>
      </c>
      <c r="B4" s="15"/>
      <c r="C4" s="6"/>
      <c r="D4" s="3"/>
      <c r="E4" s="3"/>
      <c r="F4" s="6"/>
      <c r="G4" s="3"/>
      <c r="H4" s="6"/>
      <c r="I4" s="7"/>
      <c r="J4" s="7"/>
      <c r="K4" s="8"/>
      <c r="L4" s="7"/>
      <c r="M4" s="7"/>
      <c r="N4" s="9"/>
      <c r="O4" s="9"/>
      <c r="Q4" s="16" t="s">
        <v>12</v>
      </c>
      <c r="R4" s="16"/>
      <c r="S4" s="9"/>
    </row>
    <row r="5" customFormat="false" ht="12.8" hidden="false" customHeight="true" outlineLevel="0" collapsed="false">
      <c r="A5" s="17"/>
      <c r="B5" s="18" t="s">
        <v>13</v>
      </c>
      <c r="C5" s="18"/>
      <c r="D5" s="18"/>
      <c r="E5" s="18"/>
      <c r="F5" s="19" t="s">
        <v>14</v>
      </c>
      <c r="G5" s="19"/>
      <c r="H5" s="20" t="s">
        <v>15</v>
      </c>
      <c r="I5" s="20"/>
      <c r="J5" s="20"/>
      <c r="K5" s="21" t="s">
        <v>16</v>
      </c>
      <c r="L5" s="21"/>
      <c r="M5" s="21"/>
      <c r="N5" s="22" t="s">
        <v>17</v>
      </c>
      <c r="O5" s="22"/>
      <c r="Q5" s="23" t="s">
        <v>18</v>
      </c>
      <c r="R5" s="23"/>
      <c r="S5" s="23"/>
      <c r="T5" s="24" t="s">
        <v>19</v>
      </c>
      <c r="U5" s="24"/>
      <c r="V5" s="24"/>
    </row>
    <row r="6" customFormat="false" ht="12.8" hidden="false" customHeight="false" outlineLevel="0" collapsed="false">
      <c r="A6" s="25" t="s">
        <v>20</v>
      </c>
      <c r="B6" s="26" t="s">
        <v>21</v>
      </c>
      <c r="C6" s="26" t="s">
        <v>22</v>
      </c>
      <c r="D6" s="27" t="s">
        <v>23</v>
      </c>
      <c r="E6" s="28" t="s">
        <v>24</v>
      </c>
      <c r="F6" s="29" t="s">
        <v>25</v>
      </c>
      <c r="G6" s="30" t="s">
        <v>21</v>
      </c>
      <c r="H6" s="31" t="s">
        <v>26</v>
      </c>
      <c r="I6" s="32" t="s">
        <v>27</v>
      </c>
      <c r="J6" s="33" t="s">
        <v>28</v>
      </c>
      <c r="K6" s="34" t="s">
        <v>26</v>
      </c>
      <c r="L6" s="35" t="s">
        <v>27</v>
      </c>
      <c r="M6" s="36" t="s">
        <v>28</v>
      </c>
      <c r="N6" s="37" t="s">
        <v>21</v>
      </c>
      <c r="O6" s="38" t="s">
        <v>22</v>
      </c>
      <c r="Q6" s="39" t="s">
        <v>29</v>
      </c>
      <c r="R6" s="39"/>
      <c r="S6" s="39"/>
      <c r="T6" s="40" t="s">
        <v>30</v>
      </c>
      <c r="U6" s="40"/>
      <c r="V6" s="40"/>
    </row>
    <row r="7" customFormat="false" ht="12.8" hidden="false" customHeight="false" outlineLevel="0" collapsed="false">
      <c r="A7" s="25" t="n">
        <v>1</v>
      </c>
      <c r="B7" s="41" t="n">
        <v>1.2</v>
      </c>
      <c r="C7" s="41" t="n">
        <f aca="false">40+O7</f>
        <v>43.5</v>
      </c>
      <c r="D7" s="42" t="n">
        <v>44.7</v>
      </c>
      <c r="E7" s="42" t="n">
        <v>14.5</v>
      </c>
      <c r="F7" s="43" t="s">
        <v>31</v>
      </c>
      <c r="G7" s="44" t="n">
        <v>0.85</v>
      </c>
      <c r="H7" s="45" t="n">
        <v>12</v>
      </c>
      <c r="I7" s="46" t="n">
        <v>16.041</v>
      </c>
      <c r="J7" s="47" t="n">
        <v>72.8</v>
      </c>
      <c r="K7" s="48" t="n">
        <v>3</v>
      </c>
      <c r="L7" s="46" t="n">
        <v>20.34</v>
      </c>
      <c r="M7" s="47" t="n">
        <v>117</v>
      </c>
      <c r="N7" s="49" t="n">
        <v>1.11</v>
      </c>
      <c r="O7" s="44" t="n">
        <v>3.5</v>
      </c>
      <c r="Q7" s="50" t="s">
        <v>21</v>
      </c>
      <c r="R7" s="9" t="s">
        <v>32</v>
      </c>
      <c r="S7" s="51" t="s">
        <v>28</v>
      </c>
      <c r="T7" s="9" t="s">
        <v>21</v>
      </c>
      <c r="U7" s="9" t="s">
        <v>32</v>
      </c>
      <c r="V7" s="51" t="s">
        <v>28</v>
      </c>
    </row>
    <row r="8" customFormat="false" ht="12.8" hidden="false" customHeight="false" outlineLevel="0" collapsed="false">
      <c r="A8" s="25" t="n">
        <v>2</v>
      </c>
      <c r="B8" s="41" t="n">
        <v>1.492</v>
      </c>
      <c r="C8" s="41" t="n">
        <f aca="false">40+O8</f>
        <v>42.9</v>
      </c>
      <c r="D8" s="42" t="n">
        <v>44.5</v>
      </c>
      <c r="E8" s="42" t="n">
        <v>12.3</v>
      </c>
      <c r="F8" s="43" t="s">
        <v>31</v>
      </c>
      <c r="G8" s="44" t="n">
        <v>0.6</v>
      </c>
      <c r="H8" s="45" t="n">
        <v>10</v>
      </c>
      <c r="I8" s="46" t="n">
        <v>15.662</v>
      </c>
      <c r="J8" s="47" t="n">
        <v>69.4</v>
      </c>
      <c r="K8" s="48" t="n">
        <v>2</v>
      </c>
      <c r="L8" s="46" t="n">
        <v>16.04</v>
      </c>
      <c r="M8" s="47" t="n">
        <v>72.8</v>
      </c>
      <c r="N8" s="49" t="n">
        <v>2.2</v>
      </c>
      <c r="O8" s="44" t="n">
        <v>2.9</v>
      </c>
      <c r="Q8" s="52" t="n">
        <v>18</v>
      </c>
      <c r="R8" s="53" t="n">
        <v>2.5</v>
      </c>
      <c r="S8" s="54" t="s">
        <v>33</v>
      </c>
      <c r="T8" s="53" t="n">
        <v>80</v>
      </c>
      <c r="U8" s="53" t="n">
        <v>2.5</v>
      </c>
      <c r="V8" s="54" t="s">
        <v>33</v>
      </c>
    </row>
    <row r="9" customFormat="false" ht="12.8" hidden="false" customHeight="false" outlineLevel="0" collapsed="false">
      <c r="A9" s="25" t="n">
        <v>3</v>
      </c>
      <c r="B9" s="41" t="n">
        <v>1.629</v>
      </c>
      <c r="C9" s="41" t="n">
        <f aca="false">40+O9</f>
        <v>42.1808418290085</v>
      </c>
      <c r="D9" s="42" t="n">
        <v>43.6</v>
      </c>
      <c r="E9" s="42" t="n">
        <v>10.7</v>
      </c>
      <c r="F9" s="43" t="s">
        <v>31</v>
      </c>
      <c r="G9" s="44" t="n">
        <v>0.6</v>
      </c>
      <c r="H9" s="45" t="n">
        <v>5</v>
      </c>
      <c r="I9" s="46" t="n">
        <v>17.486</v>
      </c>
      <c r="J9" s="47" t="n">
        <v>86.514</v>
      </c>
      <c r="K9" s="48" t="n">
        <v>1</v>
      </c>
      <c r="L9" s="46" t="n">
        <v>17.49</v>
      </c>
      <c r="M9" s="47" t="n">
        <v>86.51</v>
      </c>
      <c r="N9" s="49" t="n">
        <v>0.65</v>
      </c>
      <c r="O9" s="44" t="n">
        <v>2.18084182900851</v>
      </c>
      <c r="P9" s="9"/>
      <c r="Q9" s="10"/>
    </row>
    <row r="10" customFormat="false" ht="12.8" hidden="false" customHeight="false" outlineLevel="0" collapsed="false">
      <c r="A10" s="25" t="n">
        <v>4</v>
      </c>
      <c r="B10" s="41" t="n">
        <v>1.67</v>
      </c>
      <c r="C10" s="41" t="n">
        <f aca="false">40+O10</f>
        <v>41.5620830198095</v>
      </c>
      <c r="D10" s="42" t="n">
        <v>42.8</v>
      </c>
      <c r="E10" s="42" t="n">
        <v>8.1</v>
      </c>
      <c r="F10" s="43" t="s">
        <v>31</v>
      </c>
      <c r="G10" s="44" t="n">
        <v>0.625</v>
      </c>
      <c r="H10" s="45" t="n">
        <v>12</v>
      </c>
      <c r="I10" s="46" t="n">
        <v>12.436</v>
      </c>
      <c r="J10" s="47" t="n">
        <v>43.7575</v>
      </c>
      <c r="K10" s="48" t="n">
        <v>1</v>
      </c>
      <c r="L10" s="46" t="n">
        <v>12.436</v>
      </c>
      <c r="M10" s="47" t="n">
        <v>43.7575</v>
      </c>
      <c r="N10" s="49" t="n">
        <v>0.73</v>
      </c>
      <c r="O10" s="44" t="n">
        <v>1.56208301980945</v>
      </c>
      <c r="P10" s="9"/>
      <c r="Q10" s="10"/>
      <c r="R10" s="10"/>
      <c r="S10" s="10"/>
      <c r="T10" s="10"/>
    </row>
    <row r="11" customFormat="false" ht="12.8" hidden="false" customHeight="false" outlineLevel="0" collapsed="false">
      <c r="A11" s="25" t="n">
        <v>5</v>
      </c>
      <c r="B11" s="41" t="n">
        <v>1.67</v>
      </c>
      <c r="C11" s="41" t="n">
        <f aca="false">40+O11</f>
        <v>41.5620830198095</v>
      </c>
      <c r="D11" s="42" t="n">
        <v>42.7</v>
      </c>
      <c r="E11" s="42" t="n">
        <v>7.1</v>
      </c>
      <c r="F11" s="43" t="s">
        <v>31</v>
      </c>
      <c r="G11" s="44" t="n">
        <v>0.48</v>
      </c>
      <c r="H11" s="45" t="n">
        <v>10</v>
      </c>
      <c r="I11" s="46" t="n">
        <v>11.487</v>
      </c>
      <c r="J11" s="47" t="n">
        <v>37.33</v>
      </c>
      <c r="K11" s="48" t="n">
        <v>1</v>
      </c>
      <c r="L11" s="46" t="n">
        <v>11.487</v>
      </c>
      <c r="M11" s="47" t="n">
        <v>37.335</v>
      </c>
      <c r="N11" s="49" t="n">
        <v>2.27</v>
      </c>
      <c r="O11" s="44" t="n">
        <v>1.56208301980945</v>
      </c>
      <c r="P11" s="9"/>
      <c r="Q11" s="10"/>
      <c r="R11" s="10"/>
      <c r="S11" s="10"/>
      <c r="T11" s="10"/>
    </row>
    <row r="12" customFormat="false" ht="12.8" hidden="false" customHeight="false" outlineLevel="0" collapsed="false">
      <c r="A12" s="25" t="n">
        <v>6</v>
      </c>
      <c r="B12" s="41" t="n">
        <v>1.698</v>
      </c>
      <c r="C12" s="41" t="n">
        <f aca="false">40+O12</f>
        <v>41.118493</v>
      </c>
      <c r="D12" s="42" t="n">
        <v>44.2</v>
      </c>
      <c r="E12" s="42" t="n">
        <v>6.4</v>
      </c>
      <c r="F12" s="43" t="s">
        <v>34</v>
      </c>
      <c r="G12" s="44" t="n">
        <v>0.315</v>
      </c>
      <c r="H12" s="45" t="n">
        <v>10</v>
      </c>
      <c r="I12" s="46" t="n">
        <v>9.69</v>
      </c>
      <c r="J12" s="47" t="n">
        <v>26.59</v>
      </c>
      <c r="K12" s="48" t="n">
        <v>5</v>
      </c>
      <c r="L12" s="46" t="n">
        <v>9.69</v>
      </c>
      <c r="M12" s="47" t="n">
        <v>26.59</v>
      </c>
      <c r="N12" s="49" t="n">
        <v>5.9</v>
      </c>
      <c r="O12" s="44" t="n">
        <v>1.118493</v>
      </c>
      <c r="P12" s="9"/>
      <c r="Q12" s="10"/>
      <c r="R12" s="10"/>
      <c r="S12" s="10"/>
      <c r="T12" s="10"/>
    </row>
    <row r="13" customFormat="false" ht="12.8" hidden="false" customHeight="false" outlineLevel="0" collapsed="false">
      <c r="A13" s="25" t="n">
        <v>7</v>
      </c>
      <c r="B13" s="41" t="n">
        <v>1.904</v>
      </c>
      <c r="C13" s="41" t="n">
        <f aca="false">40+O13</f>
        <v>41.1459495542593</v>
      </c>
      <c r="D13" s="42" t="n">
        <v>44.7</v>
      </c>
      <c r="E13" s="42" t="n">
        <v>5.6</v>
      </c>
      <c r="F13" s="43" t="s">
        <v>34</v>
      </c>
      <c r="G13" s="44" t="n">
        <v>0.375</v>
      </c>
      <c r="H13" s="45" t="n">
        <v>9</v>
      </c>
      <c r="I13" s="46" t="n">
        <v>10.3</v>
      </c>
      <c r="J13" s="47" t="n">
        <v>30</v>
      </c>
      <c r="K13" s="48" t="n">
        <v>1</v>
      </c>
      <c r="L13" s="46" t="n">
        <v>10.3</v>
      </c>
      <c r="M13" s="47" t="n">
        <v>30</v>
      </c>
      <c r="N13" s="49" t="n">
        <v>6.85</v>
      </c>
      <c r="O13" s="44" t="n">
        <v>1.14594955425934</v>
      </c>
      <c r="P13" s="9"/>
      <c r="Q13" s="10"/>
      <c r="R13" s="10"/>
      <c r="S13" s="10"/>
      <c r="T13" s="10"/>
    </row>
    <row r="14" customFormat="false" ht="12.8" hidden="false" customHeight="false" outlineLevel="0" collapsed="false">
      <c r="A14" s="25" t="n">
        <v>8</v>
      </c>
      <c r="B14" s="41" t="n">
        <v>1.904</v>
      </c>
      <c r="C14" s="41" t="n">
        <f aca="false">40+O14</f>
        <v>41.1459495542593</v>
      </c>
      <c r="D14" s="42" t="n">
        <v>43.7</v>
      </c>
      <c r="E14" s="42" t="n">
        <v>4.6</v>
      </c>
      <c r="F14" s="43" t="s">
        <v>34</v>
      </c>
      <c r="G14" s="44" t="n">
        <v>0.175</v>
      </c>
      <c r="H14" s="45" t="n">
        <v>1</v>
      </c>
      <c r="I14" s="46" t="n">
        <v>9.307</v>
      </c>
      <c r="J14" s="47" t="n">
        <v>24.5</v>
      </c>
      <c r="K14" s="48" t="n">
        <v>1</v>
      </c>
      <c r="L14" s="46" t="n">
        <v>9.307</v>
      </c>
      <c r="M14" s="47" t="n">
        <v>24.5</v>
      </c>
      <c r="N14" s="49" t="n">
        <v>2.02</v>
      </c>
      <c r="O14" s="44" t="n">
        <v>1.14594955425934</v>
      </c>
      <c r="P14" s="9"/>
      <c r="Q14" s="10"/>
      <c r="R14" s="10"/>
      <c r="S14" s="10"/>
      <c r="T14" s="10"/>
    </row>
    <row r="15" customFormat="false" ht="12.8" hidden="false" customHeight="false" outlineLevel="0" collapsed="false">
      <c r="A15" s="25" t="n">
        <v>9</v>
      </c>
      <c r="B15" s="41" t="n">
        <v>1.905</v>
      </c>
      <c r="C15" s="41" t="n">
        <f aca="false">40+O15</f>
        <v>40.75</v>
      </c>
      <c r="D15" s="42" t="n">
        <v>45.2</v>
      </c>
      <c r="E15" s="42" t="n">
        <v>4</v>
      </c>
      <c r="F15" s="43" t="s">
        <v>34</v>
      </c>
      <c r="G15" s="44" t="n">
        <v>0.07</v>
      </c>
      <c r="H15" s="45" t="n">
        <v>0</v>
      </c>
      <c r="I15" s="46" t="n">
        <v>0</v>
      </c>
      <c r="J15" s="47" t="n">
        <v>0</v>
      </c>
      <c r="K15" s="48" t="n">
        <v>0</v>
      </c>
      <c r="L15" s="46" t="n">
        <v>0</v>
      </c>
      <c r="M15" s="47" t="n">
        <v>0</v>
      </c>
      <c r="N15" s="55" t="n">
        <v>0</v>
      </c>
      <c r="O15" s="44" t="n">
        <v>0.75</v>
      </c>
      <c r="P15" s="9"/>
      <c r="Q15" s="10"/>
      <c r="R15" s="10"/>
      <c r="S15" s="10"/>
      <c r="T15" s="10"/>
    </row>
    <row r="16" customFormat="false" ht="12.8" hidden="false" customHeight="false" outlineLevel="0" collapsed="false">
      <c r="A16" s="56" t="s">
        <v>35</v>
      </c>
      <c r="B16" s="57" t="n">
        <f aca="false">SUM(B7:B15)</f>
        <v>15.072</v>
      </c>
      <c r="C16" s="57"/>
      <c r="D16" s="58"/>
      <c r="E16" s="59"/>
      <c r="F16" s="57"/>
      <c r="G16" s="59" t="n">
        <f aca="false">SUM(G7:G15)</f>
        <v>4.09</v>
      </c>
      <c r="H16" s="57" t="n">
        <f aca="false">SUM(H7:H15) * 0.5</f>
        <v>34.5</v>
      </c>
      <c r="I16" s="58"/>
      <c r="J16" s="59"/>
      <c r="K16" s="57" t="n">
        <f aca="false">SUM(K7:K15) * 0.5</f>
        <v>7.5</v>
      </c>
      <c r="L16" s="58"/>
      <c r="M16" s="59"/>
      <c r="N16" s="57" t="n">
        <f aca="false">SUM(N7:N15)</f>
        <v>21.73</v>
      </c>
      <c r="O16" s="60"/>
      <c r="P16" s="9"/>
      <c r="Q16" s="10"/>
      <c r="R16" s="10"/>
      <c r="S16" s="10"/>
      <c r="T16" s="10"/>
    </row>
    <row r="17" customFormat="false" ht="12.8" hidden="false" customHeight="false" outlineLevel="0" collapsed="false">
      <c r="A17" s="61" t="s">
        <v>36</v>
      </c>
      <c r="B17" s="62" t="n">
        <f aca="false">B16+G16+N16+H16+K16</f>
        <v>82.892</v>
      </c>
      <c r="C17" s="62" t="s">
        <v>37</v>
      </c>
      <c r="D17" s="63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0"/>
      <c r="R17" s="10"/>
      <c r="S17" s="10"/>
      <c r="T17" s="10"/>
    </row>
    <row r="18" customFormat="false" ht="12.8" hidden="false" customHeight="false" outlineLevel="0" collapsed="false">
      <c r="A18" s="9"/>
      <c r="B18" s="9"/>
      <c r="C18" s="9"/>
      <c r="D18" s="9" t="s">
        <v>38</v>
      </c>
      <c r="E18" s="9"/>
      <c r="F18" s="9" t="s">
        <v>39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  <c r="R18" s="10"/>
      <c r="S18" s="10"/>
      <c r="T18" s="10"/>
    </row>
    <row r="19" customFormat="false" ht="12.8" hidden="false" customHeight="false" outlineLevel="0" collapsed="false">
      <c r="F19" s="9" t="s">
        <v>40</v>
      </c>
      <c r="N19" s="9"/>
      <c r="O19" s="9"/>
      <c r="P19" s="9"/>
      <c r="Q19" s="10"/>
      <c r="R19" s="10"/>
      <c r="S19" s="10"/>
      <c r="T19" s="10"/>
    </row>
    <row r="20" customFormat="false" ht="12.8" hidden="false" customHeight="false" outlineLevel="0" collapsed="false">
      <c r="N20" s="9"/>
      <c r="O20" s="9"/>
      <c r="P20" s="9"/>
      <c r="Q20" s="9"/>
      <c r="R20" s="10"/>
      <c r="S20" s="10"/>
      <c r="T20" s="10"/>
    </row>
    <row r="21" customFormat="false" ht="12.8" hidden="false" customHeight="false" outlineLevel="0" collapsed="false">
      <c r="N21" s="9"/>
      <c r="O21" s="9"/>
      <c r="P21" s="9"/>
      <c r="Q21" s="9"/>
      <c r="R21" s="10"/>
      <c r="S21" s="10"/>
      <c r="T21" s="10"/>
    </row>
    <row r="22" customFormat="false" ht="12.8" hidden="false" customHeight="false" outlineLevel="0" collapsed="false">
      <c r="N22" s="9"/>
      <c r="O22" s="9"/>
      <c r="P22" s="9"/>
      <c r="Q22" s="9"/>
      <c r="R22" s="10"/>
      <c r="S22" s="10"/>
      <c r="T22" s="10"/>
    </row>
    <row r="23" customFormat="false" ht="12.8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10"/>
      <c r="T23" s="10"/>
    </row>
    <row r="24" customFormat="false" ht="12.8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0"/>
      <c r="R24" s="10"/>
      <c r="S24" s="10"/>
      <c r="T24" s="10"/>
    </row>
    <row r="25" customFormat="false" ht="12.8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10"/>
      <c r="S25" s="10"/>
      <c r="T25" s="10"/>
    </row>
    <row r="26" customFormat="false" ht="12.8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10"/>
      <c r="S26" s="10"/>
      <c r="T26" s="10"/>
    </row>
    <row r="27" customFormat="false" ht="12.8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10"/>
      <c r="S27" s="10"/>
      <c r="T27" s="10"/>
    </row>
    <row r="28" customFormat="false" ht="12.8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customFormat="false" ht="12.8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customFormat="false" ht="12.8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</sheetData>
  <mergeCells count="11">
    <mergeCell ref="A4:B4"/>
    <mergeCell ref="Q4:R4"/>
    <mergeCell ref="B5:E5"/>
    <mergeCell ref="F5:G5"/>
    <mergeCell ref="H5:J5"/>
    <mergeCell ref="K5:M5"/>
    <mergeCell ref="N5:O5"/>
    <mergeCell ref="Q5:S5"/>
    <mergeCell ref="T5:V5"/>
    <mergeCell ref="Q6:S6"/>
    <mergeCell ref="T6:V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1795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2024-04-16T11:13:44Z</dcterms:created>
  <dc:creator/>
  <dc:description/>
  <dc:language>en-GB</dc:language>
  <cp:lastModifiedBy/>
  <dcterms:modified xsi:type="dcterms:W3CDTF">2024-05-06T11:09:17Z</dcterms:modified>
  <cp:revision>34</cp:revision>
  <dc:subject/>
  <dc:title/>
</cp:coreProperties>
</file>